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rosenbaum/artlight/data/"/>
    </mc:Choice>
  </mc:AlternateContent>
  <xr:revisionPtr revIDLastSave="0" documentId="13_ncr:1_{2628B395-89AE-4247-A765-A5C19EF642E2}" xr6:coauthVersionLast="47" xr6:coauthVersionMax="47" xr10:uidLastSave="{00000000-0000-0000-0000-000000000000}"/>
  <bookViews>
    <workbookView xWindow="1040" yWindow="1840" windowWidth="25700" windowHeight="16000" xr2:uid="{D7E03887-FC02-490D-B44C-E405D6284356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F43" i="2"/>
  <c r="AF4" i="2"/>
  <c r="AF44" i="2"/>
  <c r="AF5" i="2"/>
  <c r="AF45" i="2"/>
  <c r="AF6" i="2"/>
  <c r="AF46" i="2"/>
  <c r="AF7" i="2"/>
  <c r="AF47" i="2"/>
  <c r="AF8" i="2"/>
  <c r="AF48" i="2"/>
  <c r="AF9" i="2"/>
  <c r="AF49" i="2"/>
  <c r="AF10" i="2"/>
  <c r="AF50" i="2"/>
  <c r="AF11" i="2"/>
  <c r="AF51" i="2"/>
  <c r="AF12" i="2"/>
  <c r="AF52" i="2"/>
  <c r="AF13" i="2"/>
  <c r="AF53" i="2"/>
  <c r="AF14" i="2"/>
  <c r="AF54" i="2"/>
  <c r="AF15" i="2"/>
  <c r="AF55" i="2"/>
  <c r="AF16" i="2"/>
  <c r="AF56" i="2"/>
  <c r="AF17" i="2"/>
  <c r="AF57" i="2"/>
  <c r="AF18" i="2"/>
  <c r="AF58" i="2"/>
  <c r="AF19" i="2"/>
  <c r="AF59" i="2"/>
  <c r="AF20" i="2"/>
  <c r="AF60" i="2"/>
  <c r="AF21" i="2"/>
  <c r="AF61" i="2"/>
  <c r="AF22" i="2"/>
  <c r="AF62" i="2"/>
  <c r="AF23" i="2"/>
  <c r="AF63" i="2"/>
  <c r="AF24" i="2"/>
  <c r="AF64" i="2"/>
  <c r="AF25" i="2"/>
  <c r="AF65" i="2"/>
  <c r="AF26" i="2"/>
  <c r="AF66" i="2"/>
  <c r="AF27" i="2"/>
  <c r="AF67" i="2"/>
  <c r="AF28" i="2"/>
  <c r="AF68" i="2"/>
  <c r="AF29" i="2"/>
  <c r="AF69" i="2"/>
  <c r="AF30" i="2"/>
  <c r="AF70" i="2"/>
  <c r="AF31" i="2"/>
  <c r="AF71" i="2"/>
  <c r="AF32" i="2"/>
  <c r="AF72" i="2"/>
  <c r="AF33" i="2"/>
  <c r="AF73" i="2"/>
  <c r="AF34" i="2"/>
  <c r="AF74" i="2"/>
  <c r="AF35" i="2"/>
  <c r="AF75" i="2"/>
  <c r="AF36" i="2"/>
  <c r="AF76" i="2"/>
  <c r="AF37" i="2"/>
  <c r="AF77" i="2"/>
  <c r="AF38" i="2"/>
  <c r="AF78" i="2"/>
  <c r="AF39" i="2"/>
  <c r="AF79" i="2"/>
  <c r="AF40" i="2"/>
  <c r="AF80" i="2"/>
  <c r="AF41" i="2"/>
  <c r="AF81" i="2"/>
  <c r="AF2" i="2"/>
  <c r="AF4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G31" i="2" l="1"/>
  <c r="AH31" i="2" s="1"/>
  <c r="AG38" i="2"/>
  <c r="AG23" i="2"/>
  <c r="AH23" i="2" s="1"/>
  <c r="AG15" i="2"/>
  <c r="AH15" i="2" s="1"/>
  <c r="AG32" i="2"/>
  <c r="AH32" i="2" s="1"/>
  <c r="AG39" i="2"/>
  <c r="AH39" i="2" s="1"/>
  <c r="AG14" i="2"/>
  <c r="AH14" i="2" s="1"/>
  <c r="AG29" i="2"/>
  <c r="AH29" i="2" s="1"/>
  <c r="AG25" i="2"/>
  <c r="AH25" i="2" s="1"/>
  <c r="AG5" i="2"/>
  <c r="AH5" i="2" s="1"/>
  <c r="AG34" i="2"/>
  <c r="AH34" i="2" s="1"/>
  <c r="AG17" i="2"/>
  <c r="AH17" i="2" s="1"/>
  <c r="AG36" i="2"/>
  <c r="AH36" i="2" s="1"/>
  <c r="AG30" i="2"/>
  <c r="AH30" i="2" s="1"/>
  <c r="AG12" i="2"/>
  <c r="AH12" i="2" s="1"/>
  <c r="AG4" i="2"/>
  <c r="AH4" i="2" s="1"/>
  <c r="AG24" i="2"/>
  <c r="AH24" i="2" s="1"/>
  <c r="AG13" i="2"/>
  <c r="AH13" i="2" s="1"/>
  <c r="AG6" i="2"/>
  <c r="AG41" i="2"/>
  <c r="AH41" i="2" s="1"/>
  <c r="AG26" i="2"/>
  <c r="AH26" i="2" s="1"/>
  <c r="AG8" i="2"/>
  <c r="AH8" i="2" s="1"/>
  <c r="AG16" i="2"/>
  <c r="AH16" i="2" s="1"/>
  <c r="AG10" i="2"/>
  <c r="AH10" i="2" s="1"/>
  <c r="AH6" i="2"/>
  <c r="AG40" i="2"/>
  <c r="AH40" i="2" s="1"/>
  <c r="AG28" i="2"/>
  <c r="AH28" i="2" s="1"/>
  <c r="AG22" i="2"/>
  <c r="AH22" i="2" s="1"/>
  <c r="AG18" i="2"/>
  <c r="AH18" i="2" s="1"/>
  <c r="AG9" i="2"/>
  <c r="AH9" i="2" s="1"/>
  <c r="AG21" i="2"/>
  <c r="AH21" i="2" s="1"/>
  <c r="AH38" i="2"/>
  <c r="AG33" i="2"/>
  <c r="AH33" i="2" s="1"/>
  <c r="AG2" i="2"/>
  <c r="AH2" i="2" s="1"/>
  <c r="AG20" i="2"/>
  <c r="AH20" i="2" s="1"/>
  <c r="AG37" i="2"/>
  <c r="AH37" i="2" s="1"/>
  <c r="AG7" i="2"/>
  <c r="AH7" i="2" s="1"/>
  <c r="AG11" i="2"/>
  <c r="AH11" i="2" s="1"/>
  <c r="AG19" i="2"/>
  <c r="AH19" i="2" s="1"/>
  <c r="AG27" i="2"/>
  <c r="AH27" i="2" s="1"/>
  <c r="AG35" i="2"/>
  <c r="AH35" i="2" s="1"/>
  <c r="AG3" i="2"/>
  <c r="AH3" i="2" s="1"/>
</calcChain>
</file>

<file path=xl/sharedStrings.xml><?xml version="1.0" encoding="utf-8"?>
<sst xmlns="http://schemas.openxmlformats.org/spreadsheetml/2006/main" count="329" uniqueCount="25">
  <si>
    <t>S1</t>
  </si>
  <si>
    <t>S2</t>
  </si>
  <si>
    <t>S3</t>
  </si>
  <si>
    <t>S4</t>
  </si>
  <si>
    <t>C1</t>
  </si>
  <si>
    <t>C2</t>
  </si>
  <si>
    <t>C3</t>
  </si>
  <si>
    <t>C4</t>
  </si>
  <si>
    <t>C</t>
  </si>
  <si>
    <t>S</t>
  </si>
  <si>
    <t>A</t>
  </si>
  <si>
    <t>B</t>
  </si>
  <si>
    <t>D</t>
  </si>
  <si>
    <t>E</t>
  </si>
  <si>
    <t>treatment</t>
  </si>
  <si>
    <t>lineage</t>
  </si>
  <si>
    <t>trtlin</t>
  </si>
  <si>
    <t>vial</t>
  </si>
  <si>
    <t>id</t>
  </si>
  <si>
    <t>sex</t>
  </si>
  <si>
    <t>M</t>
  </si>
  <si>
    <t>F</t>
  </si>
  <si>
    <t>prop_male</t>
  </si>
  <si>
    <t>totalbysex</t>
  </si>
  <si>
    <t>MFvialTotal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</si>
</sst>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EB31-8F43-4A0C-9DD7-C88BB7C084C7}">
  <dimension ref="A1:AH81"/>
  <sheetViews>
    <sheetView tabSelected="1" zoomScale="87" workbookViewId="0">
      <selection activeCell="AI13" sqref="AI13"/>
    </sheetView>
  </sheetViews>
  <sheetFormatPr baseColWidth="10" defaultColWidth="8.83203125" defaultRowHeight="15" x14ac:dyDescent="0.2"/>
  <cols>
    <col min="1" max="1" width="8.83203125" bestFit="1" customWidth="1"/>
    <col min="2" max="2" width="6.6640625" customWidth="1"/>
    <col min="3" max="3" width="4.6640625" bestFit="1" customWidth="1"/>
    <col min="4" max="4" width="3.6640625" bestFit="1" customWidth="1"/>
    <col min="5" max="5" width="4.5" bestFit="1" customWidth="1"/>
    <col min="6" max="6" width="3.5" style="6" bestFit="1" customWidth="1"/>
    <col min="7" max="31" width="6.5" bestFit="1" customWidth="1"/>
    <col min="32" max="32" width="9.1640625" style="3" bestFit="1" customWidth="1"/>
    <col min="33" max="33" width="10" bestFit="1" customWidth="1"/>
    <col min="34" max="34" width="9.83203125" customWidth="1"/>
  </cols>
  <sheetData>
    <row r="1" spans="1:34" ht="16" thickBot="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s="6" t="s">
        <v>19</v>
      </c>
      <c r="G1">
        <v>0</v>
      </c>
      <c r="H1">
        <v>24</v>
      </c>
      <c r="I1">
        <v>30</v>
      </c>
      <c r="J1">
        <v>36</v>
      </c>
      <c r="K1">
        <v>48</v>
      </c>
      <c r="L1">
        <v>54</v>
      </c>
      <c r="M1">
        <v>60</v>
      </c>
      <c r="N1">
        <v>72</v>
      </c>
      <c r="O1">
        <v>78</v>
      </c>
      <c r="P1">
        <v>84</v>
      </c>
      <c r="Q1">
        <v>96</v>
      </c>
      <c r="R1">
        <v>102</v>
      </c>
      <c r="S1">
        <v>108</v>
      </c>
      <c r="T1">
        <v>120</v>
      </c>
      <c r="U1">
        <v>126</v>
      </c>
      <c r="V1">
        <v>144</v>
      </c>
      <c r="W1">
        <v>150</v>
      </c>
      <c r="X1">
        <v>168</v>
      </c>
      <c r="Y1">
        <v>174</v>
      </c>
      <c r="Z1">
        <v>192</v>
      </c>
      <c r="AA1">
        <v>198</v>
      </c>
      <c r="AB1">
        <v>216</v>
      </c>
      <c r="AC1">
        <v>222</v>
      </c>
      <c r="AD1">
        <v>240</v>
      </c>
      <c r="AE1">
        <v>246</v>
      </c>
      <c r="AF1" s="4" t="s">
        <v>23</v>
      </c>
      <c r="AG1" s="1" t="s">
        <v>24</v>
      </c>
      <c r="AH1" s="1" t="s">
        <v>22</v>
      </c>
    </row>
    <row r="2" spans="1:34" x14ac:dyDescent="0.2">
      <c r="A2" t="s">
        <v>8</v>
      </c>
      <c r="B2">
        <v>1</v>
      </c>
      <c r="C2" t="s">
        <v>4</v>
      </c>
      <c r="D2" t="s">
        <v>10</v>
      </c>
      <c r="E2" t="str">
        <f>_xlfn.CONCAT(C2:D2)</f>
        <v>C1A</v>
      </c>
      <c r="F2" s="6" t="s">
        <v>20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3">
        <f t="shared" ref="AF2:AF33" si="0">SUM(G2:AE2)</f>
        <v>3</v>
      </c>
      <c r="AG2">
        <f>AF2+AF42</f>
        <v>9</v>
      </c>
      <c r="AH2">
        <f>AF2/AG2</f>
        <v>0.33333333333333331</v>
      </c>
    </row>
    <row r="3" spans="1:34" x14ac:dyDescent="0.2">
      <c r="A3" t="s">
        <v>8</v>
      </c>
      <c r="B3">
        <v>1</v>
      </c>
      <c r="C3" t="s">
        <v>4</v>
      </c>
      <c r="D3" t="s">
        <v>11</v>
      </c>
      <c r="E3" t="str">
        <f t="shared" ref="E3:E41" si="1">_xlfn.CONCAT(C3:D3)</f>
        <v>C1B</v>
      </c>
      <c r="F3" s="6" t="s">
        <v>20</v>
      </c>
      <c r="G3">
        <v>0</v>
      </c>
      <c r="H3">
        <v>0</v>
      </c>
      <c r="I3">
        <v>0</v>
      </c>
      <c r="J3">
        <v>2</v>
      </c>
      <c r="K3">
        <v>7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3">
        <f t="shared" si="0"/>
        <v>11</v>
      </c>
      <c r="AG3">
        <f t="shared" ref="AG3:AG41" si="2">AF3+AF43</f>
        <v>21</v>
      </c>
      <c r="AH3">
        <f t="shared" ref="AH3:AH41" si="3">AF3/AG3</f>
        <v>0.52380952380952384</v>
      </c>
    </row>
    <row r="4" spans="1:34" x14ac:dyDescent="0.2">
      <c r="A4" t="s">
        <v>8</v>
      </c>
      <c r="B4">
        <v>1</v>
      </c>
      <c r="C4" t="s">
        <v>4</v>
      </c>
      <c r="D4" t="s">
        <v>8</v>
      </c>
      <c r="E4" t="str">
        <f t="shared" si="1"/>
        <v>C1C</v>
      </c>
      <c r="F4" s="6" t="s">
        <v>20</v>
      </c>
      <c r="G4">
        <v>0</v>
      </c>
      <c r="H4">
        <v>0</v>
      </c>
      <c r="I4">
        <v>0</v>
      </c>
      <c r="J4">
        <v>0</v>
      </c>
      <c r="K4">
        <v>5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3">
        <f t="shared" si="0"/>
        <v>7</v>
      </c>
      <c r="AG4">
        <f t="shared" si="2"/>
        <v>11</v>
      </c>
      <c r="AH4">
        <f t="shared" si="3"/>
        <v>0.63636363636363635</v>
      </c>
    </row>
    <row r="5" spans="1:34" x14ac:dyDescent="0.2">
      <c r="A5" t="s">
        <v>8</v>
      </c>
      <c r="B5">
        <v>1</v>
      </c>
      <c r="C5" t="s">
        <v>4</v>
      </c>
      <c r="D5" t="s">
        <v>12</v>
      </c>
      <c r="E5" t="str">
        <f t="shared" si="1"/>
        <v>C1D</v>
      </c>
      <c r="F5" s="6" t="s">
        <v>20</v>
      </c>
      <c r="G5">
        <v>0</v>
      </c>
      <c r="H5">
        <v>0</v>
      </c>
      <c r="I5">
        <v>0</v>
      </c>
      <c r="J5">
        <v>2</v>
      </c>
      <c r="K5">
        <v>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3">
        <f t="shared" si="0"/>
        <v>9</v>
      </c>
      <c r="AG5">
        <f t="shared" si="2"/>
        <v>15</v>
      </c>
      <c r="AH5">
        <f t="shared" si="3"/>
        <v>0.6</v>
      </c>
    </row>
    <row r="6" spans="1:34" x14ac:dyDescent="0.2">
      <c r="A6" t="s">
        <v>8</v>
      </c>
      <c r="B6">
        <v>1</v>
      </c>
      <c r="C6" t="s">
        <v>4</v>
      </c>
      <c r="D6" t="s">
        <v>13</v>
      </c>
      <c r="E6" t="str">
        <f t="shared" si="1"/>
        <v>C1E</v>
      </c>
      <c r="F6" s="6" t="s">
        <v>20</v>
      </c>
      <c r="G6">
        <v>0</v>
      </c>
      <c r="H6">
        <v>0</v>
      </c>
      <c r="I6">
        <v>0</v>
      </c>
      <c r="J6">
        <v>2</v>
      </c>
      <c r="K6">
        <v>6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3">
        <f t="shared" si="0"/>
        <v>9</v>
      </c>
      <c r="AG6">
        <f t="shared" si="2"/>
        <v>14</v>
      </c>
      <c r="AH6">
        <f t="shared" si="3"/>
        <v>0.6428571428571429</v>
      </c>
    </row>
    <row r="7" spans="1:34" x14ac:dyDescent="0.2">
      <c r="A7" t="s">
        <v>8</v>
      </c>
      <c r="B7">
        <v>2</v>
      </c>
      <c r="C7" t="s">
        <v>5</v>
      </c>
      <c r="D7" t="s">
        <v>10</v>
      </c>
      <c r="E7" t="str">
        <f t="shared" si="1"/>
        <v>C2A</v>
      </c>
      <c r="F7" s="6" t="s">
        <v>20</v>
      </c>
      <c r="G7">
        <v>0</v>
      </c>
      <c r="H7">
        <v>0</v>
      </c>
      <c r="I7">
        <v>0</v>
      </c>
      <c r="J7">
        <v>0</v>
      </c>
      <c r="K7">
        <v>7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3">
        <f t="shared" si="0"/>
        <v>8</v>
      </c>
      <c r="AG7">
        <f t="shared" si="2"/>
        <v>21</v>
      </c>
      <c r="AH7">
        <f t="shared" si="3"/>
        <v>0.38095238095238093</v>
      </c>
    </row>
    <row r="8" spans="1:34" x14ac:dyDescent="0.2">
      <c r="A8" t="s">
        <v>8</v>
      </c>
      <c r="B8">
        <v>2</v>
      </c>
      <c r="C8" t="s">
        <v>5</v>
      </c>
      <c r="D8" t="s">
        <v>11</v>
      </c>
      <c r="E8" t="str">
        <f t="shared" si="1"/>
        <v>C2B</v>
      </c>
      <c r="F8" s="6" t="s">
        <v>20</v>
      </c>
      <c r="G8">
        <v>0</v>
      </c>
      <c r="H8">
        <v>0</v>
      </c>
      <c r="I8">
        <v>0</v>
      </c>
      <c r="J8">
        <v>0</v>
      </c>
      <c r="K8">
        <v>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3">
        <f t="shared" si="0"/>
        <v>9</v>
      </c>
      <c r="AG8">
        <f t="shared" si="2"/>
        <v>16</v>
      </c>
      <c r="AH8">
        <f t="shared" si="3"/>
        <v>0.5625</v>
      </c>
    </row>
    <row r="9" spans="1:34" x14ac:dyDescent="0.2">
      <c r="A9" t="s">
        <v>8</v>
      </c>
      <c r="B9">
        <v>2</v>
      </c>
      <c r="C9" t="s">
        <v>5</v>
      </c>
      <c r="D9" t="s">
        <v>8</v>
      </c>
      <c r="E9" t="str">
        <f t="shared" si="1"/>
        <v>C2C</v>
      </c>
      <c r="F9" s="6" t="s">
        <v>20</v>
      </c>
      <c r="G9">
        <v>0</v>
      </c>
      <c r="H9">
        <v>1</v>
      </c>
      <c r="I9">
        <v>0</v>
      </c>
      <c r="J9">
        <v>0</v>
      </c>
      <c r="K9">
        <v>3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3">
        <f t="shared" si="0"/>
        <v>5</v>
      </c>
      <c r="AG9">
        <f t="shared" si="2"/>
        <v>17</v>
      </c>
      <c r="AH9">
        <f t="shared" si="3"/>
        <v>0.29411764705882354</v>
      </c>
    </row>
    <row r="10" spans="1:34" x14ac:dyDescent="0.2">
      <c r="A10" t="s">
        <v>8</v>
      </c>
      <c r="B10">
        <v>2</v>
      </c>
      <c r="C10" t="s">
        <v>5</v>
      </c>
      <c r="D10" t="s">
        <v>12</v>
      </c>
      <c r="E10" t="str">
        <f t="shared" si="1"/>
        <v>C2D</v>
      </c>
      <c r="F10" s="6" t="s">
        <v>20</v>
      </c>
      <c r="G10">
        <v>0</v>
      </c>
      <c r="H10">
        <v>0</v>
      </c>
      <c r="I10">
        <v>0</v>
      </c>
      <c r="J10">
        <v>0</v>
      </c>
      <c r="K10">
        <v>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3">
        <f t="shared" si="0"/>
        <v>14</v>
      </c>
      <c r="AG10">
        <f t="shared" si="2"/>
        <v>20</v>
      </c>
      <c r="AH10">
        <f t="shared" si="3"/>
        <v>0.7</v>
      </c>
    </row>
    <row r="11" spans="1:34" x14ac:dyDescent="0.2">
      <c r="A11" t="s">
        <v>8</v>
      </c>
      <c r="B11">
        <v>2</v>
      </c>
      <c r="C11" t="s">
        <v>5</v>
      </c>
      <c r="D11" t="s">
        <v>13</v>
      </c>
      <c r="E11" t="str">
        <f t="shared" si="1"/>
        <v>C2E</v>
      </c>
      <c r="F11" s="6" t="s">
        <v>20</v>
      </c>
      <c r="G11">
        <v>0</v>
      </c>
      <c r="H11">
        <v>0</v>
      </c>
      <c r="I11">
        <v>0</v>
      </c>
      <c r="J11">
        <v>0</v>
      </c>
      <c r="K11">
        <v>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3">
        <f t="shared" si="0"/>
        <v>6</v>
      </c>
      <c r="AG11">
        <f t="shared" si="2"/>
        <v>11</v>
      </c>
      <c r="AH11">
        <f t="shared" si="3"/>
        <v>0.54545454545454541</v>
      </c>
    </row>
    <row r="12" spans="1:34" x14ac:dyDescent="0.2">
      <c r="A12" t="s">
        <v>8</v>
      </c>
      <c r="B12">
        <v>3</v>
      </c>
      <c r="C12" t="s">
        <v>6</v>
      </c>
      <c r="D12" t="s">
        <v>10</v>
      </c>
      <c r="E12" t="str">
        <f t="shared" si="1"/>
        <v>C3A</v>
      </c>
      <c r="F12" s="6" t="s">
        <v>20</v>
      </c>
      <c r="G12">
        <v>0</v>
      </c>
      <c r="H12">
        <v>0</v>
      </c>
      <c r="I12">
        <v>0</v>
      </c>
      <c r="J12">
        <v>2</v>
      </c>
      <c r="K12">
        <v>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3">
        <f t="shared" si="0"/>
        <v>9</v>
      </c>
      <c r="AG12">
        <f t="shared" si="2"/>
        <v>20</v>
      </c>
      <c r="AH12">
        <f t="shared" si="3"/>
        <v>0.45</v>
      </c>
    </row>
    <row r="13" spans="1:34" x14ac:dyDescent="0.2">
      <c r="A13" t="s">
        <v>8</v>
      </c>
      <c r="B13">
        <v>3</v>
      </c>
      <c r="C13" t="s">
        <v>6</v>
      </c>
      <c r="D13" t="s">
        <v>11</v>
      </c>
      <c r="E13" t="str">
        <f t="shared" si="1"/>
        <v>C3B</v>
      </c>
      <c r="F13" s="6" t="s">
        <v>20</v>
      </c>
      <c r="G13">
        <v>0</v>
      </c>
      <c r="H13">
        <v>1</v>
      </c>
      <c r="I13">
        <v>0</v>
      </c>
      <c r="J13">
        <v>1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s="3">
        <f t="shared" si="0"/>
        <v>7</v>
      </c>
      <c r="AG13">
        <f t="shared" si="2"/>
        <v>13</v>
      </c>
      <c r="AH13">
        <f t="shared" si="3"/>
        <v>0.53846153846153844</v>
      </c>
    </row>
    <row r="14" spans="1:34" x14ac:dyDescent="0.2">
      <c r="A14" t="s">
        <v>8</v>
      </c>
      <c r="B14">
        <v>3</v>
      </c>
      <c r="C14" t="s">
        <v>6</v>
      </c>
      <c r="D14" t="s">
        <v>8</v>
      </c>
      <c r="E14" t="str">
        <f t="shared" si="1"/>
        <v>C3C</v>
      </c>
      <c r="F14" s="6" t="s">
        <v>20</v>
      </c>
      <c r="G14">
        <v>0</v>
      </c>
      <c r="H14">
        <v>1</v>
      </c>
      <c r="I14">
        <v>0</v>
      </c>
      <c r="J14">
        <v>0</v>
      </c>
      <c r="K14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s="3">
        <f t="shared" si="0"/>
        <v>7</v>
      </c>
      <c r="AG14">
        <f t="shared" si="2"/>
        <v>9</v>
      </c>
      <c r="AH14">
        <f t="shared" si="3"/>
        <v>0.77777777777777779</v>
      </c>
    </row>
    <row r="15" spans="1:34" x14ac:dyDescent="0.2">
      <c r="A15" t="s">
        <v>8</v>
      </c>
      <c r="B15">
        <v>3</v>
      </c>
      <c r="C15" t="s">
        <v>6</v>
      </c>
      <c r="D15" t="s">
        <v>12</v>
      </c>
      <c r="E15" t="str">
        <f t="shared" si="1"/>
        <v>C3D</v>
      </c>
      <c r="F15" s="6" t="s">
        <v>20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3">
        <f t="shared" si="0"/>
        <v>2</v>
      </c>
      <c r="AG15">
        <f t="shared" si="2"/>
        <v>4</v>
      </c>
      <c r="AH15">
        <f t="shared" si="3"/>
        <v>0.5</v>
      </c>
    </row>
    <row r="16" spans="1:34" x14ac:dyDescent="0.2">
      <c r="A16" t="s">
        <v>8</v>
      </c>
      <c r="B16">
        <v>3</v>
      </c>
      <c r="C16" t="s">
        <v>6</v>
      </c>
      <c r="D16" t="s">
        <v>13</v>
      </c>
      <c r="E16" t="str">
        <f t="shared" si="1"/>
        <v>C3E</v>
      </c>
      <c r="F16" s="6" t="s">
        <v>20</v>
      </c>
      <c r="G16">
        <v>0</v>
      </c>
      <c r="H16">
        <v>0</v>
      </c>
      <c r="I16">
        <v>0</v>
      </c>
      <c r="J16">
        <v>1</v>
      </c>
      <c r="K16">
        <v>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3">
        <f t="shared" si="0"/>
        <v>8</v>
      </c>
      <c r="AG16">
        <f t="shared" si="2"/>
        <v>20</v>
      </c>
      <c r="AH16">
        <f t="shared" si="3"/>
        <v>0.4</v>
      </c>
    </row>
    <row r="17" spans="1:34" x14ac:dyDescent="0.2">
      <c r="A17" t="s">
        <v>8</v>
      </c>
      <c r="B17">
        <v>4</v>
      </c>
      <c r="C17" t="s">
        <v>7</v>
      </c>
      <c r="D17" t="s">
        <v>10</v>
      </c>
      <c r="E17" t="str">
        <f t="shared" si="1"/>
        <v>C4A</v>
      </c>
      <c r="F17" s="6" t="s">
        <v>20</v>
      </c>
      <c r="G17">
        <v>0</v>
      </c>
      <c r="H17">
        <v>0</v>
      </c>
      <c r="I17">
        <v>0</v>
      </c>
      <c r="J17">
        <v>3</v>
      </c>
      <c r="K17">
        <v>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3">
        <f t="shared" si="0"/>
        <v>9</v>
      </c>
      <c r="AG17">
        <f t="shared" si="2"/>
        <v>15</v>
      </c>
      <c r="AH17">
        <f t="shared" si="3"/>
        <v>0.6</v>
      </c>
    </row>
    <row r="18" spans="1:34" x14ac:dyDescent="0.2">
      <c r="A18" t="s">
        <v>8</v>
      </c>
      <c r="B18">
        <v>4</v>
      </c>
      <c r="C18" t="s">
        <v>7</v>
      </c>
      <c r="D18" t="s">
        <v>11</v>
      </c>
      <c r="E18" t="str">
        <f t="shared" si="1"/>
        <v>C4B</v>
      </c>
      <c r="F18" s="6" t="s">
        <v>20</v>
      </c>
      <c r="G18">
        <v>0</v>
      </c>
      <c r="H18">
        <v>0</v>
      </c>
      <c r="I18">
        <v>0</v>
      </c>
      <c r="J18">
        <v>1</v>
      </c>
      <c r="K18">
        <v>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3">
        <f t="shared" si="0"/>
        <v>10</v>
      </c>
      <c r="AG18">
        <f t="shared" si="2"/>
        <v>21</v>
      </c>
      <c r="AH18">
        <f t="shared" si="3"/>
        <v>0.47619047619047616</v>
      </c>
    </row>
    <row r="19" spans="1:34" x14ac:dyDescent="0.2">
      <c r="A19" t="s">
        <v>8</v>
      </c>
      <c r="B19">
        <v>4</v>
      </c>
      <c r="C19" t="s">
        <v>7</v>
      </c>
      <c r="D19" t="s">
        <v>8</v>
      </c>
      <c r="E19" t="str">
        <f t="shared" si="1"/>
        <v>C4C</v>
      </c>
      <c r="F19" s="6" t="s">
        <v>20</v>
      </c>
      <c r="G19">
        <v>0</v>
      </c>
      <c r="H19">
        <v>2</v>
      </c>
      <c r="I19">
        <v>0</v>
      </c>
      <c r="J19">
        <v>1</v>
      </c>
      <c r="K19">
        <v>7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3">
        <f t="shared" si="0"/>
        <v>11</v>
      </c>
      <c r="AG19">
        <f t="shared" si="2"/>
        <v>19</v>
      </c>
      <c r="AH19">
        <f t="shared" si="3"/>
        <v>0.57894736842105265</v>
      </c>
    </row>
    <row r="20" spans="1:34" x14ac:dyDescent="0.2">
      <c r="A20" t="s">
        <v>8</v>
      </c>
      <c r="B20">
        <v>4</v>
      </c>
      <c r="C20" t="s">
        <v>7</v>
      </c>
      <c r="D20" t="s">
        <v>12</v>
      </c>
      <c r="E20" t="str">
        <f t="shared" si="1"/>
        <v>C4D</v>
      </c>
      <c r="F20" s="6" t="s">
        <v>20</v>
      </c>
      <c r="G20">
        <v>0</v>
      </c>
      <c r="H20">
        <v>0</v>
      </c>
      <c r="I20">
        <v>0</v>
      </c>
      <c r="J20">
        <v>2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3">
        <f t="shared" si="0"/>
        <v>8</v>
      </c>
      <c r="AG20">
        <f t="shared" si="2"/>
        <v>20</v>
      </c>
      <c r="AH20">
        <f t="shared" si="3"/>
        <v>0.4</v>
      </c>
    </row>
    <row r="21" spans="1:34" x14ac:dyDescent="0.2">
      <c r="A21" t="s">
        <v>8</v>
      </c>
      <c r="B21">
        <v>4</v>
      </c>
      <c r="C21" t="s">
        <v>7</v>
      </c>
      <c r="D21" t="s">
        <v>13</v>
      </c>
      <c r="E21" t="str">
        <f t="shared" si="1"/>
        <v>C4E</v>
      </c>
      <c r="F21" s="6" t="s">
        <v>20</v>
      </c>
      <c r="G21">
        <v>0</v>
      </c>
      <c r="H21">
        <v>1</v>
      </c>
      <c r="I21">
        <v>0</v>
      </c>
      <c r="J21">
        <v>0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3">
        <f t="shared" si="0"/>
        <v>9</v>
      </c>
      <c r="AG21">
        <f t="shared" si="2"/>
        <v>15</v>
      </c>
      <c r="AH21">
        <f t="shared" si="3"/>
        <v>0.6</v>
      </c>
    </row>
    <row r="22" spans="1:34" x14ac:dyDescent="0.2">
      <c r="A22" t="s">
        <v>9</v>
      </c>
      <c r="B22">
        <v>1</v>
      </c>
      <c r="C22" t="s">
        <v>0</v>
      </c>
      <c r="D22" t="s">
        <v>10</v>
      </c>
      <c r="E22" t="str">
        <f t="shared" si="1"/>
        <v>S1A</v>
      </c>
      <c r="F22" s="6" t="s">
        <v>20</v>
      </c>
      <c r="G22">
        <v>0</v>
      </c>
      <c r="H22">
        <v>0</v>
      </c>
      <c r="I22">
        <v>0</v>
      </c>
      <c r="J22">
        <v>2</v>
      </c>
      <c r="K22">
        <v>5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3">
        <f t="shared" si="0"/>
        <v>8</v>
      </c>
      <c r="AG22">
        <f t="shared" si="2"/>
        <v>19</v>
      </c>
      <c r="AH22">
        <f t="shared" si="3"/>
        <v>0.42105263157894735</v>
      </c>
    </row>
    <row r="23" spans="1:34" x14ac:dyDescent="0.2">
      <c r="A23" t="s">
        <v>9</v>
      </c>
      <c r="B23">
        <v>1</v>
      </c>
      <c r="C23" t="s">
        <v>0</v>
      </c>
      <c r="D23" t="s">
        <v>11</v>
      </c>
      <c r="E23" t="str">
        <f t="shared" si="1"/>
        <v>S1B</v>
      </c>
      <c r="F23" s="6" t="s">
        <v>20</v>
      </c>
      <c r="G23">
        <v>0</v>
      </c>
      <c r="H23">
        <v>1</v>
      </c>
      <c r="I23">
        <v>1</v>
      </c>
      <c r="J23">
        <v>3</v>
      </c>
      <c r="K23">
        <v>7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3">
        <f t="shared" si="0"/>
        <v>13</v>
      </c>
      <c r="AG23">
        <f t="shared" si="2"/>
        <v>19</v>
      </c>
      <c r="AH23">
        <f t="shared" si="3"/>
        <v>0.68421052631578949</v>
      </c>
    </row>
    <row r="24" spans="1:34" x14ac:dyDescent="0.2">
      <c r="A24" t="s">
        <v>9</v>
      </c>
      <c r="B24">
        <v>1</v>
      </c>
      <c r="C24" t="s">
        <v>0</v>
      </c>
      <c r="D24" t="s">
        <v>8</v>
      </c>
      <c r="E24" t="str">
        <f t="shared" si="1"/>
        <v>S1C</v>
      </c>
      <c r="F24" s="6" t="s">
        <v>20</v>
      </c>
      <c r="G24">
        <v>0</v>
      </c>
      <c r="H24">
        <v>0</v>
      </c>
      <c r="I24">
        <v>1</v>
      </c>
      <c r="J24">
        <v>2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3">
        <f t="shared" si="0"/>
        <v>12</v>
      </c>
      <c r="AG24">
        <f t="shared" si="2"/>
        <v>18</v>
      </c>
      <c r="AH24">
        <f t="shared" si="3"/>
        <v>0.66666666666666663</v>
      </c>
    </row>
    <row r="25" spans="1:34" x14ac:dyDescent="0.2">
      <c r="A25" t="s">
        <v>9</v>
      </c>
      <c r="B25">
        <v>1</v>
      </c>
      <c r="C25" t="s">
        <v>0</v>
      </c>
      <c r="D25" t="s">
        <v>12</v>
      </c>
      <c r="E25" t="str">
        <f t="shared" si="1"/>
        <v>S1D</v>
      </c>
      <c r="F25" s="6" t="s">
        <v>20</v>
      </c>
      <c r="G25">
        <v>0</v>
      </c>
      <c r="H25">
        <v>0</v>
      </c>
      <c r="I25">
        <v>0</v>
      </c>
      <c r="J25">
        <v>1</v>
      </c>
      <c r="K25">
        <v>8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3">
        <f t="shared" si="0"/>
        <v>11</v>
      </c>
      <c r="AG25">
        <f>AF25+AF65</f>
        <v>21</v>
      </c>
      <c r="AH25">
        <f t="shared" si="3"/>
        <v>0.52380952380952384</v>
      </c>
    </row>
    <row r="26" spans="1:34" x14ac:dyDescent="0.2">
      <c r="A26" t="s">
        <v>9</v>
      </c>
      <c r="B26">
        <v>1</v>
      </c>
      <c r="C26" t="s">
        <v>0</v>
      </c>
      <c r="D26" t="s">
        <v>13</v>
      </c>
      <c r="E26" t="str">
        <f t="shared" si="1"/>
        <v>S1E</v>
      </c>
      <c r="F26" s="6" t="s">
        <v>20</v>
      </c>
      <c r="G26">
        <v>0</v>
      </c>
      <c r="H26">
        <v>1</v>
      </c>
      <c r="I26">
        <v>0</v>
      </c>
      <c r="J26">
        <v>0</v>
      </c>
      <c r="K26">
        <v>10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3">
        <f t="shared" si="0"/>
        <v>12</v>
      </c>
      <c r="AG26">
        <f t="shared" si="2"/>
        <v>20</v>
      </c>
      <c r="AH26">
        <f t="shared" si="3"/>
        <v>0.6</v>
      </c>
    </row>
    <row r="27" spans="1:34" x14ac:dyDescent="0.2">
      <c r="A27" t="s">
        <v>9</v>
      </c>
      <c r="B27">
        <v>2</v>
      </c>
      <c r="C27" t="s">
        <v>1</v>
      </c>
      <c r="D27" t="s">
        <v>10</v>
      </c>
      <c r="E27" t="str">
        <f t="shared" si="1"/>
        <v>S2A</v>
      </c>
      <c r="F27" s="6" t="s">
        <v>20</v>
      </c>
      <c r="G27">
        <v>0</v>
      </c>
      <c r="H27">
        <v>2</v>
      </c>
      <c r="I27">
        <v>0</v>
      </c>
      <c r="J27">
        <v>2</v>
      </c>
      <c r="K27">
        <v>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3">
        <f t="shared" si="0"/>
        <v>11</v>
      </c>
      <c r="AG27">
        <f t="shared" si="2"/>
        <v>19</v>
      </c>
      <c r="AH27">
        <f t="shared" si="3"/>
        <v>0.57894736842105265</v>
      </c>
    </row>
    <row r="28" spans="1:34" x14ac:dyDescent="0.2">
      <c r="A28" t="s">
        <v>9</v>
      </c>
      <c r="B28">
        <v>2</v>
      </c>
      <c r="C28" t="s">
        <v>1</v>
      </c>
      <c r="D28" t="s">
        <v>11</v>
      </c>
      <c r="E28" t="str">
        <f t="shared" si="1"/>
        <v>S2B</v>
      </c>
      <c r="F28" s="6" t="s">
        <v>20</v>
      </c>
      <c r="G28">
        <v>0</v>
      </c>
      <c r="H28">
        <v>0</v>
      </c>
      <c r="I28">
        <v>1</v>
      </c>
      <c r="J28">
        <v>4</v>
      </c>
      <c r="K28">
        <v>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3">
        <f t="shared" si="0"/>
        <v>14</v>
      </c>
      <c r="AG28">
        <f t="shared" si="2"/>
        <v>21</v>
      </c>
      <c r="AH28">
        <f t="shared" si="3"/>
        <v>0.66666666666666663</v>
      </c>
    </row>
    <row r="29" spans="1:34" x14ac:dyDescent="0.2">
      <c r="A29" t="s">
        <v>9</v>
      </c>
      <c r="B29">
        <v>2</v>
      </c>
      <c r="C29" t="s">
        <v>1</v>
      </c>
      <c r="D29" t="s">
        <v>8</v>
      </c>
      <c r="E29" t="str">
        <f>_xlfn.CONCAT(C29:D29)</f>
        <v>S2C</v>
      </c>
      <c r="F29" s="6" t="s">
        <v>20</v>
      </c>
      <c r="G29">
        <v>0</v>
      </c>
      <c r="H29">
        <v>0</v>
      </c>
      <c r="I29">
        <v>0</v>
      </c>
      <c r="J29">
        <v>5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3">
        <f t="shared" si="0"/>
        <v>9</v>
      </c>
      <c r="AG29">
        <f t="shared" si="2"/>
        <v>18</v>
      </c>
      <c r="AH29">
        <f t="shared" si="3"/>
        <v>0.5</v>
      </c>
    </row>
    <row r="30" spans="1:34" x14ac:dyDescent="0.2">
      <c r="A30" t="s">
        <v>9</v>
      </c>
      <c r="B30">
        <v>2</v>
      </c>
      <c r="C30" t="s">
        <v>1</v>
      </c>
      <c r="D30" t="s">
        <v>12</v>
      </c>
      <c r="E30" t="str">
        <f t="shared" si="1"/>
        <v>S2D</v>
      </c>
      <c r="F30" s="6" t="s">
        <v>20</v>
      </c>
      <c r="G30">
        <v>0</v>
      </c>
      <c r="H30">
        <v>0</v>
      </c>
      <c r="I30">
        <v>0</v>
      </c>
      <c r="J30">
        <v>3</v>
      </c>
      <c r="K30">
        <v>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3">
        <f t="shared" si="0"/>
        <v>12</v>
      </c>
      <c r="AG30">
        <f t="shared" si="2"/>
        <v>20</v>
      </c>
      <c r="AH30">
        <f t="shared" si="3"/>
        <v>0.6</v>
      </c>
    </row>
    <row r="31" spans="1:34" x14ac:dyDescent="0.2">
      <c r="A31" t="s">
        <v>9</v>
      </c>
      <c r="B31">
        <v>2</v>
      </c>
      <c r="C31" t="s">
        <v>1</v>
      </c>
      <c r="D31" t="s">
        <v>13</v>
      </c>
      <c r="E31" t="str">
        <f t="shared" si="1"/>
        <v>S2E</v>
      </c>
      <c r="F31" s="6" t="s">
        <v>20</v>
      </c>
      <c r="G31">
        <v>0</v>
      </c>
      <c r="H31">
        <v>1</v>
      </c>
      <c r="I31">
        <v>1</v>
      </c>
      <c r="J31">
        <v>3</v>
      </c>
      <c r="K31">
        <v>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3">
        <f t="shared" si="0"/>
        <v>10</v>
      </c>
      <c r="AG31">
        <f t="shared" si="2"/>
        <v>17</v>
      </c>
      <c r="AH31">
        <f t="shared" si="3"/>
        <v>0.58823529411764708</v>
      </c>
    </row>
    <row r="32" spans="1:34" x14ac:dyDescent="0.2">
      <c r="A32" t="s">
        <v>9</v>
      </c>
      <c r="B32">
        <v>3</v>
      </c>
      <c r="C32" t="s">
        <v>2</v>
      </c>
      <c r="D32" t="s">
        <v>10</v>
      </c>
      <c r="E32" t="str">
        <f t="shared" si="1"/>
        <v>S3A</v>
      </c>
      <c r="F32" s="6" t="s">
        <v>20</v>
      </c>
      <c r="G32">
        <v>0</v>
      </c>
      <c r="H32">
        <v>1</v>
      </c>
      <c r="I32">
        <v>0</v>
      </c>
      <c r="J32">
        <v>2</v>
      </c>
      <c r="K32">
        <v>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3">
        <f t="shared" si="0"/>
        <v>11</v>
      </c>
      <c r="AG32">
        <f t="shared" si="2"/>
        <v>21</v>
      </c>
      <c r="AH32">
        <f t="shared" si="3"/>
        <v>0.52380952380952384</v>
      </c>
    </row>
    <row r="33" spans="1:34" x14ac:dyDescent="0.2">
      <c r="A33" t="s">
        <v>9</v>
      </c>
      <c r="B33">
        <v>3</v>
      </c>
      <c r="C33" t="s">
        <v>2</v>
      </c>
      <c r="D33" t="s">
        <v>11</v>
      </c>
      <c r="E33" t="str">
        <f t="shared" si="1"/>
        <v>S3B</v>
      </c>
      <c r="F33" s="6" t="s">
        <v>20</v>
      </c>
      <c r="G33">
        <v>0</v>
      </c>
      <c r="H33">
        <v>2</v>
      </c>
      <c r="I33">
        <v>1</v>
      </c>
      <c r="J33">
        <v>1</v>
      </c>
      <c r="K33">
        <v>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3">
        <f t="shared" si="0"/>
        <v>10</v>
      </c>
      <c r="AG33">
        <f t="shared" si="2"/>
        <v>16</v>
      </c>
      <c r="AH33">
        <f t="shared" si="3"/>
        <v>0.625</v>
      </c>
    </row>
    <row r="34" spans="1:34" x14ac:dyDescent="0.2">
      <c r="A34" t="s">
        <v>9</v>
      </c>
      <c r="B34">
        <v>3</v>
      </c>
      <c r="C34" t="s">
        <v>2</v>
      </c>
      <c r="D34" t="s">
        <v>8</v>
      </c>
      <c r="E34" t="str">
        <f t="shared" si="1"/>
        <v>S3C</v>
      </c>
      <c r="F34" s="6" t="s">
        <v>20</v>
      </c>
      <c r="G34">
        <v>0</v>
      </c>
      <c r="H34">
        <v>2</v>
      </c>
      <c r="I34">
        <v>0</v>
      </c>
      <c r="J34">
        <v>2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s="3">
        <f t="shared" ref="AF34:AF65" si="4">SUM(G34:AE34)</f>
        <v>10</v>
      </c>
      <c r="AG34">
        <f t="shared" si="2"/>
        <v>20</v>
      </c>
      <c r="AH34">
        <f t="shared" si="3"/>
        <v>0.5</v>
      </c>
    </row>
    <row r="35" spans="1:34" x14ac:dyDescent="0.2">
      <c r="A35" t="s">
        <v>9</v>
      </c>
      <c r="B35">
        <v>3</v>
      </c>
      <c r="C35" t="s">
        <v>2</v>
      </c>
      <c r="D35" t="s">
        <v>12</v>
      </c>
      <c r="E35" t="str">
        <f t="shared" si="1"/>
        <v>S3D</v>
      </c>
      <c r="F35" s="6" t="s">
        <v>20</v>
      </c>
      <c r="G35">
        <v>0</v>
      </c>
      <c r="H35">
        <v>1</v>
      </c>
      <c r="I35">
        <v>0</v>
      </c>
      <c r="J35">
        <v>3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s="3">
        <f t="shared" si="4"/>
        <v>12</v>
      </c>
      <c r="AG35">
        <f>AF35+AF75</f>
        <v>20</v>
      </c>
      <c r="AH35">
        <f t="shared" si="3"/>
        <v>0.6</v>
      </c>
    </row>
    <row r="36" spans="1:34" x14ac:dyDescent="0.2">
      <c r="A36" t="s">
        <v>9</v>
      </c>
      <c r="B36">
        <v>3</v>
      </c>
      <c r="C36" t="s">
        <v>2</v>
      </c>
      <c r="D36" t="s">
        <v>13</v>
      </c>
      <c r="E36" t="str">
        <f t="shared" si="1"/>
        <v>S3E</v>
      </c>
      <c r="F36" s="6" t="s">
        <v>20</v>
      </c>
      <c r="G36">
        <v>0</v>
      </c>
      <c r="H36">
        <v>1</v>
      </c>
      <c r="I36">
        <v>0</v>
      </c>
      <c r="J36">
        <v>1</v>
      </c>
      <c r="K36">
        <v>8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s="3">
        <f t="shared" si="4"/>
        <v>12</v>
      </c>
      <c r="AG36">
        <f t="shared" si="2"/>
        <v>20</v>
      </c>
      <c r="AH36">
        <f t="shared" si="3"/>
        <v>0.6</v>
      </c>
    </row>
    <row r="37" spans="1:34" x14ac:dyDescent="0.2">
      <c r="A37" t="s">
        <v>9</v>
      </c>
      <c r="B37">
        <v>4</v>
      </c>
      <c r="C37" t="s">
        <v>3</v>
      </c>
      <c r="D37" t="s">
        <v>10</v>
      </c>
      <c r="E37" t="str">
        <f t="shared" si="1"/>
        <v>S4A</v>
      </c>
      <c r="F37" s="6" t="s">
        <v>20</v>
      </c>
      <c r="G37">
        <v>0</v>
      </c>
      <c r="H37">
        <v>1</v>
      </c>
      <c r="I37">
        <v>0</v>
      </c>
      <c r="J37">
        <v>0</v>
      </c>
      <c r="K37">
        <v>6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s="3">
        <f t="shared" si="4"/>
        <v>9</v>
      </c>
      <c r="AG37">
        <f t="shared" si="2"/>
        <v>18</v>
      </c>
      <c r="AH37">
        <f t="shared" si="3"/>
        <v>0.5</v>
      </c>
    </row>
    <row r="38" spans="1:34" x14ac:dyDescent="0.2">
      <c r="A38" t="s">
        <v>9</v>
      </c>
      <c r="B38">
        <v>4</v>
      </c>
      <c r="C38" t="s">
        <v>3</v>
      </c>
      <c r="D38" t="s">
        <v>11</v>
      </c>
      <c r="E38" t="str">
        <f t="shared" si="1"/>
        <v>S4B</v>
      </c>
      <c r="F38" s="6" t="s">
        <v>20</v>
      </c>
      <c r="G38">
        <v>0</v>
      </c>
      <c r="H38">
        <v>0</v>
      </c>
      <c r="I38">
        <v>0</v>
      </c>
      <c r="J38">
        <v>1</v>
      </c>
      <c r="K38">
        <v>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s="3">
        <f t="shared" si="4"/>
        <v>7</v>
      </c>
      <c r="AG38">
        <f t="shared" si="2"/>
        <v>14</v>
      </c>
      <c r="AH38">
        <f t="shared" si="3"/>
        <v>0.5</v>
      </c>
    </row>
    <row r="39" spans="1:34" x14ac:dyDescent="0.2">
      <c r="A39" t="s">
        <v>9</v>
      </c>
      <c r="B39">
        <v>4</v>
      </c>
      <c r="C39" t="s">
        <v>3</v>
      </c>
      <c r="D39" t="s">
        <v>8</v>
      </c>
      <c r="E39" t="str">
        <f t="shared" si="1"/>
        <v>S4C</v>
      </c>
      <c r="F39" s="6" t="s">
        <v>20</v>
      </c>
      <c r="G39">
        <v>0</v>
      </c>
      <c r="H39">
        <v>0</v>
      </c>
      <c r="I39">
        <v>0</v>
      </c>
      <c r="J39">
        <v>1</v>
      </c>
      <c r="K39">
        <v>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s="3">
        <f t="shared" si="4"/>
        <v>10</v>
      </c>
      <c r="AG39">
        <f t="shared" si="2"/>
        <v>21</v>
      </c>
      <c r="AH39">
        <f t="shared" si="3"/>
        <v>0.47619047619047616</v>
      </c>
    </row>
    <row r="40" spans="1:34" x14ac:dyDescent="0.2">
      <c r="A40" t="s">
        <v>9</v>
      </c>
      <c r="B40">
        <v>4</v>
      </c>
      <c r="C40" t="s">
        <v>3</v>
      </c>
      <c r="D40" t="s">
        <v>12</v>
      </c>
      <c r="E40" t="str">
        <f t="shared" si="1"/>
        <v>S4D</v>
      </c>
      <c r="F40" s="6" t="s">
        <v>20</v>
      </c>
      <c r="G40">
        <v>0</v>
      </c>
      <c r="H40">
        <v>0</v>
      </c>
      <c r="I40">
        <v>0</v>
      </c>
      <c r="J40">
        <v>1</v>
      </c>
      <c r="K40">
        <v>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3">
        <f t="shared" si="4"/>
        <v>9</v>
      </c>
      <c r="AG40">
        <f t="shared" si="2"/>
        <v>21</v>
      </c>
      <c r="AH40">
        <f t="shared" si="3"/>
        <v>0.42857142857142855</v>
      </c>
    </row>
    <row r="41" spans="1:34" s="2" customFormat="1" x14ac:dyDescent="0.2">
      <c r="A41" s="2" t="s">
        <v>9</v>
      </c>
      <c r="B41" s="2">
        <v>4</v>
      </c>
      <c r="C41" s="2" t="s">
        <v>3</v>
      </c>
      <c r="D41" s="2" t="s">
        <v>13</v>
      </c>
      <c r="E41" s="2" t="str">
        <f t="shared" si="1"/>
        <v>S4E</v>
      </c>
      <c r="F41" s="7" t="s">
        <v>20</v>
      </c>
      <c r="G41" s="2">
        <v>0</v>
      </c>
      <c r="H41" s="2">
        <v>1</v>
      </c>
      <c r="I41" s="2">
        <v>0</v>
      </c>
      <c r="J41" s="2">
        <v>1</v>
      </c>
      <c r="K41" s="2">
        <v>5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5">
        <f t="shared" si="4"/>
        <v>8</v>
      </c>
      <c r="AG41" s="2">
        <f t="shared" si="2"/>
        <v>20</v>
      </c>
      <c r="AH41" s="2">
        <f t="shared" si="3"/>
        <v>0.4</v>
      </c>
    </row>
    <row r="42" spans="1:34" x14ac:dyDescent="0.2">
      <c r="A42" t="s">
        <v>8</v>
      </c>
      <c r="B42">
        <v>1</v>
      </c>
      <c r="C42" t="s">
        <v>4</v>
      </c>
      <c r="D42" t="s">
        <v>10</v>
      </c>
      <c r="E42" t="str">
        <f>_xlfn.CONCAT(C42:D42)</f>
        <v>C1A</v>
      </c>
      <c r="F42" s="6" t="s">
        <v>21</v>
      </c>
      <c r="G42">
        <v>0</v>
      </c>
      <c r="H42">
        <v>0</v>
      </c>
      <c r="I42">
        <v>0</v>
      </c>
      <c r="J42">
        <v>2</v>
      </c>
      <c r="K42">
        <v>3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3">
        <f t="shared" si="4"/>
        <v>6</v>
      </c>
    </row>
    <row r="43" spans="1:34" x14ac:dyDescent="0.2">
      <c r="A43" t="s">
        <v>8</v>
      </c>
      <c r="B43">
        <v>1</v>
      </c>
      <c r="C43" t="s">
        <v>4</v>
      </c>
      <c r="D43" t="s">
        <v>11</v>
      </c>
      <c r="E43" t="str">
        <f t="shared" ref="E43:E68" si="5">_xlfn.CONCAT(C43:D43)</f>
        <v>C1B</v>
      </c>
      <c r="F43" s="6" t="s">
        <v>21</v>
      </c>
      <c r="G43">
        <v>0</v>
      </c>
      <c r="H43">
        <v>1</v>
      </c>
      <c r="I43">
        <v>0</v>
      </c>
      <c r="J43">
        <v>2</v>
      </c>
      <c r="K43">
        <v>5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s="3">
        <f t="shared" si="4"/>
        <v>10</v>
      </c>
    </row>
    <row r="44" spans="1:34" x14ac:dyDescent="0.2">
      <c r="A44" t="s">
        <v>8</v>
      </c>
      <c r="B44">
        <v>1</v>
      </c>
      <c r="C44" t="s">
        <v>4</v>
      </c>
      <c r="D44" t="s">
        <v>8</v>
      </c>
      <c r="E44" t="str">
        <f t="shared" si="5"/>
        <v>C1C</v>
      </c>
      <c r="F44" s="6" t="s">
        <v>21</v>
      </c>
      <c r="G44">
        <v>0</v>
      </c>
      <c r="H44">
        <v>0</v>
      </c>
      <c r="I44">
        <v>1</v>
      </c>
      <c r="J44">
        <v>0</v>
      </c>
      <c r="K44">
        <v>2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3">
        <f t="shared" si="4"/>
        <v>4</v>
      </c>
    </row>
    <row r="45" spans="1:34" x14ac:dyDescent="0.2">
      <c r="A45" t="s">
        <v>8</v>
      </c>
      <c r="B45">
        <v>1</v>
      </c>
      <c r="C45" t="s">
        <v>4</v>
      </c>
      <c r="D45" t="s">
        <v>12</v>
      </c>
      <c r="E45" t="str">
        <f t="shared" si="5"/>
        <v>C1D</v>
      </c>
      <c r="F45" s="6" t="s">
        <v>21</v>
      </c>
      <c r="G45">
        <v>0</v>
      </c>
      <c r="H45">
        <v>0</v>
      </c>
      <c r="I45">
        <v>0</v>
      </c>
      <c r="J45">
        <v>2</v>
      </c>
      <c r="K45">
        <v>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s="3">
        <f t="shared" si="4"/>
        <v>6</v>
      </c>
    </row>
    <row r="46" spans="1:34" x14ac:dyDescent="0.2">
      <c r="A46" t="s">
        <v>8</v>
      </c>
      <c r="B46">
        <v>1</v>
      </c>
      <c r="C46" t="s">
        <v>4</v>
      </c>
      <c r="D46" t="s">
        <v>13</v>
      </c>
      <c r="E46" t="str">
        <f t="shared" si="5"/>
        <v>C1E</v>
      </c>
      <c r="F46" s="6" t="s">
        <v>21</v>
      </c>
      <c r="G46">
        <v>0</v>
      </c>
      <c r="H46">
        <v>0</v>
      </c>
      <c r="I46">
        <v>0</v>
      </c>
      <c r="J46">
        <v>2</v>
      </c>
      <c r="K46">
        <v>1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s="3">
        <f t="shared" si="4"/>
        <v>5</v>
      </c>
    </row>
    <row r="47" spans="1:34" x14ac:dyDescent="0.2">
      <c r="A47" t="s">
        <v>8</v>
      </c>
      <c r="B47">
        <v>2</v>
      </c>
      <c r="C47" t="s">
        <v>5</v>
      </c>
      <c r="D47" t="s">
        <v>10</v>
      </c>
      <c r="E47" t="str">
        <f t="shared" si="5"/>
        <v>C2A</v>
      </c>
      <c r="F47" s="6" t="s">
        <v>21</v>
      </c>
      <c r="G47">
        <v>0</v>
      </c>
      <c r="H47">
        <v>2</v>
      </c>
      <c r="I47">
        <v>0</v>
      </c>
      <c r="J47">
        <v>0</v>
      </c>
      <c r="K47">
        <v>10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s="3">
        <f t="shared" si="4"/>
        <v>13</v>
      </c>
    </row>
    <row r="48" spans="1:34" x14ac:dyDescent="0.2">
      <c r="A48" t="s">
        <v>8</v>
      </c>
      <c r="B48">
        <v>2</v>
      </c>
      <c r="C48" t="s">
        <v>5</v>
      </c>
      <c r="D48" t="s">
        <v>11</v>
      </c>
      <c r="E48" t="str">
        <f t="shared" si="5"/>
        <v>C2B</v>
      </c>
      <c r="F48" s="6" t="s">
        <v>21</v>
      </c>
      <c r="G48">
        <v>0</v>
      </c>
      <c r="H48">
        <v>0</v>
      </c>
      <c r="I48">
        <v>0</v>
      </c>
      <c r="J48">
        <v>0</v>
      </c>
      <c r="K48">
        <v>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3">
        <f t="shared" si="4"/>
        <v>7</v>
      </c>
    </row>
    <row r="49" spans="1:32" x14ac:dyDescent="0.2">
      <c r="A49" t="s">
        <v>8</v>
      </c>
      <c r="B49">
        <v>2</v>
      </c>
      <c r="C49" t="s">
        <v>5</v>
      </c>
      <c r="D49" t="s">
        <v>8</v>
      </c>
      <c r="E49" t="str">
        <f t="shared" si="5"/>
        <v>C2C</v>
      </c>
      <c r="F49" s="6" t="s">
        <v>21</v>
      </c>
      <c r="G49">
        <v>0</v>
      </c>
      <c r="H49">
        <v>0</v>
      </c>
      <c r="I49">
        <v>0</v>
      </c>
      <c r="J49">
        <v>0</v>
      </c>
      <c r="K49">
        <v>9</v>
      </c>
      <c r="L49">
        <v>0</v>
      </c>
      <c r="M49">
        <v>1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s="3">
        <f t="shared" si="4"/>
        <v>12</v>
      </c>
    </row>
    <row r="50" spans="1:32" x14ac:dyDescent="0.2">
      <c r="A50" t="s">
        <v>8</v>
      </c>
      <c r="B50">
        <v>2</v>
      </c>
      <c r="C50" t="s">
        <v>5</v>
      </c>
      <c r="D50" t="s">
        <v>12</v>
      </c>
      <c r="E50" t="str">
        <f t="shared" si="5"/>
        <v>C2D</v>
      </c>
      <c r="F50" s="6" t="s">
        <v>21</v>
      </c>
      <c r="G50">
        <v>0</v>
      </c>
      <c r="H50">
        <v>0</v>
      </c>
      <c r="I50">
        <v>0</v>
      </c>
      <c r="J50">
        <v>0</v>
      </c>
      <c r="K50">
        <v>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s="3">
        <f t="shared" si="4"/>
        <v>6</v>
      </c>
    </row>
    <row r="51" spans="1:32" x14ac:dyDescent="0.2">
      <c r="A51" t="s">
        <v>8</v>
      </c>
      <c r="B51">
        <v>2</v>
      </c>
      <c r="C51" t="s">
        <v>5</v>
      </c>
      <c r="D51" t="s">
        <v>13</v>
      </c>
      <c r="E51" t="str">
        <f t="shared" si="5"/>
        <v>C2E</v>
      </c>
      <c r="F51" s="6" t="s">
        <v>21</v>
      </c>
      <c r="G51">
        <v>0</v>
      </c>
      <c r="H51">
        <v>1</v>
      </c>
      <c r="I51">
        <v>0</v>
      </c>
      <c r="J51">
        <v>0</v>
      </c>
      <c r="K51">
        <v>2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3">
        <f t="shared" si="4"/>
        <v>5</v>
      </c>
    </row>
    <row r="52" spans="1:32" x14ac:dyDescent="0.2">
      <c r="A52" t="s">
        <v>8</v>
      </c>
      <c r="B52">
        <v>3</v>
      </c>
      <c r="C52" t="s">
        <v>6</v>
      </c>
      <c r="D52" t="s">
        <v>10</v>
      </c>
      <c r="E52" t="str">
        <f t="shared" si="5"/>
        <v>C3A</v>
      </c>
      <c r="F52" s="6" t="s">
        <v>21</v>
      </c>
      <c r="G52">
        <v>0</v>
      </c>
      <c r="H52">
        <v>2</v>
      </c>
      <c r="I52">
        <v>1</v>
      </c>
      <c r="J52">
        <v>2</v>
      </c>
      <c r="K52">
        <v>5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3">
        <f t="shared" si="4"/>
        <v>11</v>
      </c>
    </row>
    <row r="53" spans="1:32" x14ac:dyDescent="0.2">
      <c r="A53" t="s">
        <v>8</v>
      </c>
      <c r="B53">
        <v>3</v>
      </c>
      <c r="C53" t="s">
        <v>6</v>
      </c>
      <c r="D53" t="s">
        <v>11</v>
      </c>
      <c r="E53" t="str">
        <f t="shared" si="5"/>
        <v>C3B</v>
      </c>
      <c r="F53" s="6" t="s">
        <v>21</v>
      </c>
      <c r="G53">
        <v>0</v>
      </c>
      <c r="H53">
        <v>2</v>
      </c>
      <c r="I53">
        <v>0</v>
      </c>
      <c r="J53">
        <v>1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s="3">
        <f t="shared" si="4"/>
        <v>6</v>
      </c>
    </row>
    <row r="54" spans="1:32" x14ac:dyDescent="0.2">
      <c r="A54" t="s">
        <v>8</v>
      </c>
      <c r="B54">
        <v>3</v>
      </c>
      <c r="C54" t="s">
        <v>6</v>
      </c>
      <c r="D54" t="s">
        <v>8</v>
      </c>
      <c r="E54" t="str">
        <f t="shared" si="5"/>
        <v>C3C</v>
      </c>
      <c r="F54" s="6" t="s">
        <v>21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3">
        <f t="shared" si="4"/>
        <v>2</v>
      </c>
    </row>
    <row r="55" spans="1:32" x14ac:dyDescent="0.2">
      <c r="A55" t="s">
        <v>8</v>
      </c>
      <c r="B55">
        <v>3</v>
      </c>
      <c r="C55" t="s">
        <v>6</v>
      </c>
      <c r="D55" t="s">
        <v>12</v>
      </c>
      <c r="E55" t="str">
        <f t="shared" si="5"/>
        <v>C3D</v>
      </c>
      <c r="F55" s="6" t="s">
        <v>21</v>
      </c>
      <c r="G55">
        <v>0</v>
      </c>
      <c r="H55">
        <v>0</v>
      </c>
      <c r="I55">
        <v>0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s="3">
        <f t="shared" si="4"/>
        <v>2</v>
      </c>
    </row>
    <row r="56" spans="1:32" x14ac:dyDescent="0.2">
      <c r="A56" t="s">
        <v>8</v>
      </c>
      <c r="B56">
        <v>3</v>
      </c>
      <c r="C56" t="s">
        <v>6</v>
      </c>
      <c r="D56" t="s">
        <v>13</v>
      </c>
      <c r="E56" t="str">
        <f t="shared" si="5"/>
        <v>C3E</v>
      </c>
      <c r="F56" s="6" t="s">
        <v>21</v>
      </c>
      <c r="G56">
        <v>0</v>
      </c>
      <c r="H56">
        <v>1</v>
      </c>
      <c r="I56">
        <v>0</v>
      </c>
      <c r="J56">
        <v>1</v>
      </c>
      <c r="K56">
        <v>10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s="3">
        <f t="shared" si="4"/>
        <v>12</v>
      </c>
    </row>
    <row r="57" spans="1:32" x14ac:dyDescent="0.2">
      <c r="A57" t="s">
        <v>8</v>
      </c>
      <c r="B57">
        <v>4</v>
      </c>
      <c r="C57" t="s">
        <v>7</v>
      </c>
      <c r="D57" t="s">
        <v>10</v>
      </c>
      <c r="E57" t="str">
        <f t="shared" si="5"/>
        <v>C4A</v>
      </c>
      <c r="F57" s="6" t="s">
        <v>21</v>
      </c>
      <c r="G57">
        <v>0</v>
      </c>
      <c r="H57">
        <v>0</v>
      </c>
      <c r="I57">
        <v>0</v>
      </c>
      <c r="J57">
        <v>3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3">
        <f t="shared" si="4"/>
        <v>6</v>
      </c>
    </row>
    <row r="58" spans="1:32" x14ac:dyDescent="0.2">
      <c r="A58" t="s">
        <v>8</v>
      </c>
      <c r="B58">
        <v>4</v>
      </c>
      <c r="C58" t="s">
        <v>7</v>
      </c>
      <c r="D58" t="s">
        <v>11</v>
      </c>
      <c r="E58" t="str">
        <f t="shared" si="5"/>
        <v>C4B</v>
      </c>
      <c r="F58" s="6" t="s">
        <v>21</v>
      </c>
      <c r="G58">
        <v>0</v>
      </c>
      <c r="H58">
        <v>5</v>
      </c>
      <c r="I58">
        <v>1</v>
      </c>
      <c r="J58">
        <v>1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s="3">
        <f t="shared" si="4"/>
        <v>11</v>
      </c>
    </row>
    <row r="59" spans="1:32" x14ac:dyDescent="0.2">
      <c r="A59" t="s">
        <v>8</v>
      </c>
      <c r="B59">
        <v>4</v>
      </c>
      <c r="C59" t="s">
        <v>7</v>
      </c>
      <c r="D59" t="s">
        <v>8</v>
      </c>
      <c r="E59" t="str">
        <f t="shared" si="5"/>
        <v>C4C</v>
      </c>
      <c r="F59" s="6" t="s">
        <v>21</v>
      </c>
      <c r="G59">
        <v>0</v>
      </c>
      <c r="H59">
        <v>1</v>
      </c>
      <c r="I59">
        <v>2</v>
      </c>
      <c r="J59">
        <v>1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s="3">
        <f t="shared" si="4"/>
        <v>8</v>
      </c>
    </row>
    <row r="60" spans="1:32" x14ac:dyDescent="0.2">
      <c r="A60" t="s">
        <v>8</v>
      </c>
      <c r="B60">
        <v>4</v>
      </c>
      <c r="C60" t="s">
        <v>7</v>
      </c>
      <c r="D60" t="s">
        <v>12</v>
      </c>
      <c r="E60" t="str">
        <f t="shared" si="5"/>
        <v>C4D</v>
      </c>
      <c r="F60" s="6" t="s">
        <v>21</v>
      </c>
      <c r="G60">
        <v>0</v>
      </c>
      <c r="H60">
        <v>5</v>
      </c>
      <c r="I60">
        <v>0</v>
      </c>
      <c r="J60">
        <v>2</v>
      </c>
      <c r="K60">
        <v>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s="3">
        <f t="shared" si="4"/>
        <v>12</v>
      </c>
    </row>
    <row r="61" spans="1:32" x14ac:dyDescent="0.2">
      <c r="A61" t="s">
        <v>8</v>
      </c>
      <c r="B61">
        <v>4</v>
      </c>
      <c r="C61" t="s">
        <v>7</v>
      </c>
      <c r="D61" t="s">
        <v>13</v>
      </c>
      <c r="E61" t="str">
        <f t="shared" si="5"/>
        <v>C4E</v>
      </c>
      <c r="F61" s="6" t="s">
        <v>21</v>
      </c>
      <c r="G61">
        <v>0</v>
      </c>
      <c r="H61">
        <v>3</v>
      </c>
      <c r="I61">
        <v>1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s="3">
        <f t="shared" si="4"/>
        <v>6</v>
      </c>
    </row>
    <row r="62" spans="1:32" x14ac:dyDescent="0.2">
      <c r="A62" t="s">
        <v>8</v>
      </c>
      <c r="B62">
        <v>1</v>
      </c>
      <c r="C62" t="s">
        <v>0</v>
      </c>
      <c r="D62" t="s">
        <v>10</v>
      </c>
      <c r="E62" t="str">
        <f t="shared" si="5"/>
        <v>S1A</v>
      </c>
      <c r="F62" s="6" t="s">
        <v>21</v>
      </c>
      <c r="G62">
        <v>0</v>
      </c>
      <c r="H62">
        <v>3</v>
      </c>
      <c r="I62">
        <v>0</v>
      </c>
      <c r="J62">
        <v>2</v>
      </c>
      <c r="K62">
        <v>5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s="3">
        <f t="shared" si="4"/>
        <v>11</v>
      </c>
    </row>
    <row r="63" spans="1:32" x14ac:dyDescent="0.2">
      <c r="A63" t="s">
        <v>8</v>
      </c>
      <c r="B63">
        <v>1</v>
      </c>
      <c r="C63" t="s">
        <v>0</v>
      </c>
      <c r="D63" t="s">
        <v>11</v>
      </c>
      <c r="E63" t="str">
        <f t="shared" si="5"/>
        <v>S1B</v>
      </c>
      <c r="F63" s="6" t="s">
        <v>21</v>
      </c>
      <c r="G63">
        <v>0</v>
      </c>
      <c r="H63">
        <v>1</v>
      </c>
      <c r="I63">
        <v>1</v>
      </c>
      <c r="J63">
        <v>3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s="3">
        <f t="shared" si="4"/>
        <v>6</v>
      </c>
    </row>
    <row r="64" spans="1:32" x14ac:dyDescent="0.2">
      <c r="A64" t="s">
        <v>8</v>
      </c>
      <c r="B64">
        <v>1</v>
      </c>
      <c r="C64" t="s">
        <v>0</v>
      </c>
      <c r="D64" t="s">
        <v>8</v>
      </c>
      <c r="E64" t="str">
        <f t="shared" si="5"/>
        <v>S1C</v>
      </c>
      <c r="F64" s="6" t="s">
        <v>21</v>
      </c>
      <c r="G64">
        <v>0</v>
      </c>
      <c r="H64">
        <v>0</v>
      </c>
      <c r="I64">
        <v>0</v>
      </c>
      <c r="J64">
        <v>2</v>
      </c>
      <c r="K64">
        <v>3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s="3">
        <f t="shared" si="4"/>
        <v>6</v>
      </c>
    </row>
    <row r="65" spans="1:32" x14ac:dyDescent="0.2">
      <c r="A65" t="s">
        <v>8</v>
      </c>
      <c r="B65">
        <v>1</v>
      </c>
      <c r="C65" t="s">
        <v>0</v>
      </c>
      <c r="D65" t="s">
        <v>12</v>
      </c>
      <c r="E65" t="str">
        <f t="shared" si="5"/>
        <v>S1D</v>
      </c>
      <c r="F65" s="6" t="s">
        <v>21</v>
      </c>
      <c r="G65">
        <v>0</v>
      </c>
      <c r="H65">
        <v>1</v>
      </c>
      <c r="I65">
        <v>0</v>
      </c>
      <c r="J65">
        <v>1</v>
      </c>
      <c r="K65">
        <v>7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s="3">
        <f t="shared" si="4"/>
        <v>10</v>
      </c>
    </row>
    <row r="66" spans="1:32" x14ac:dyDescent="0.2">
      <c r="A66" t="s">
        <v>8</v>
      </c>
      <c r="B66">
        <v>1</v>
      </c>
      <c r="C66" t="s">
        <v>0</v>
      </c>
      <c r="D66" t="s">
        <v>13</v>
      </c>
      <c r="E66" t="str">
        <f t="shared" si="5"/>
        <v>S1E</v>
      </c>
      <c r="F66" s="6" t="s">
        <v>21</v>
      </c>
      <c r="G66">
        <v>0</v>
      </c>
      <c r="H66">
        <v>0</v>
      </c>
      <c r="I66">
        <v>0</v>
      </c>
      <c r="J66">
        <v>0</v>
      </c>
      <c r="K66">
        <v>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s="3">
        <f t="shared" ref="AF66:AF81" si="6">SUM(G66:AE66)</f>
        <v>8</v>
      </c>
    </row>
    <row r="67" spans="1:32" x14ac:dyDescent="0.2">
      <c r="A67" t="s">
        <v>8</v>
      </c>
      <c r="B67">
        <v>2</v>
      </c>
      <c r="C67" t="s">
        <v>1</v>
      </c>
      <c r="D67" t="s">
        <v>10</v>
      </c>
      <c r="E67" t="str">
        <f t="shared" si="5"/>
        <v>S2A</v>
      </c>
      <c r="F67" s="6" t="s">
        <v>21</v>
      </c>
      <c r="G67">
        <v>0</v>
      </c>
      <c r="H67">
        <v>2</v>
      </c>
      <c r="I67">
        <v>0</v>
      </c>
      <c r="J67">
        <v>2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s="3">
        <f t="shared" si="6"/>
        <v>8</v>
      </c>
    </row>
    <row r="68" spans="1:32" x14ac:dyDescent="0.2">
      <c r="A68" t="s">
        <v>8</v>
      </c>
      <c r="B68">
        <v>2</v>
      </c>
      <c r="C68" t="s">
        <v>1</v>
      </c>
      <c r="D68" t="s">
        <v>11</v>
      </c>
      <c r="E68" t="str">
        <f t="shared" si="5"/>
        <v>S2B</v>
      </c>
      <c r="F68" s="6" t="s">
        <v>21</v>
      </c>
      <c r="G68">
        <v>0</v>
      </c>
      <c r="H68">
        <v>1</v>
      </c>
      <c r="I68">
        <v>1</v>
      </c>
      <c r="J68">
        <v>4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s="3">
        <f t="shared" si="6"/>
        <v>7</v>
      </c>
    </row>
    <row r="69" spans="1:32" x14ac:dyDescent="0.2">
      <c r="A69" t="s">
        <v>8</v>
      </c>
      <c r="B69">
        <v>2</v>
      </c>
      <c r="C69" t="s">
        <v>1</v>
      </c>
      <c r="D69" t="s">
        <v>8</v>
      </c>
      <c r="E69" t="str">
        <f>_xlfn.CONCAT(C69:D69)</f>
        <v>S2C</v>
      </c>
      <c r="F69" s="6" t="s">
        <v>21</v>
      </c>
      <c r="G69">
        <v>0</v>
      </c>
      <c r="H69">
        <v>1</v>
      </c>
      <c r="I69">
        <v>1</v>
      </c>
      <c r="J69">
        <v>5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s="3">
        <f t="shared" si="6"/>
        <v>9</v>
      </c>
    </row>
    <row r="70" spans="1:32" x14ac:dyDescent="0.2">
      <c r="A70" t="s">
        <v>8</v>
      </c>
      <c r="B70">
        <v>2</v>
      </c>
      <c r="C70" t="s">
        <v>1</v>
      </c>
      <c r="D70" t="s">
        <v>12</v>
      </c>
      <c r="E70" t="str">
        <f t="shared" ref="E70:E81" si="7">_xlfn.CONCAT(C70:D70)</f>
        <v>S2D</v>
      </c>
      <c r="F70" s="6" t="s">
        <v>21</v>
      </c>
      <c r="G70">
        <v>0</v>
      </c>
      <c r="H70">
        <v>3</v>
      </c>
      <c r="I70">
        <v>0</v>
      </c>
      <c r="J70">
        <v>2</v>
      </c>
      <c r="K70">
        <v>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s="3">
        <f t="shared" si="6"/>
        <v>8</v>
      </c>
    </row>
    <row r="71" spans="1:32" x14ac:dyDescent="0.2">
      <c r="A71" t="s">
        <v>8</v>
      </c>
      <c r="B71">
        <v>2</v>
      </c>
      <c r="C71" t="s">
        <v>1</v>
      </c>
      <c r="D71" t="s">
        <v>13</v>
      </c>
      <c r="E71" t="str">
        <f t="shared" si="7"/>
        <v>S2E</v>
      </c>
      <c r="F71" s="6" t="s">
        <v>21</v>
      </c>
      <c r="G71">
        <v>0</v>
      </c>
      <c r="H71">
        <v>2</v>
      </c>
      <c r="I71">
        <v>0</v>
      </c>
      <c r="J71">
        <v>3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3">
        <f t="shared" si="6"/>
        <v>7</v>
      </c>
    </row>
    <row r="72" spans="1:32" x14ac:dyDescent="0.2">
      <c r="A72" t="s">
        <v>8</v>
      </c>
      <c r="B72">
        <v>3</v>
      </c>
      <c r="C72" t="s">
        <v>2</v>
      </c>
      <c r="D72" t="s">
        <v>10</v>
      </c>
      <c r="E72" t="str">
        <f t="shared" si="7"/>
        <v>S3A</v>
      </c>
      <c r="F72" s="6" t="s">
        <v>21</v>
      </c>
      <c r="G72">
        <v>0</v>
      </c>
      <c r="H72">
        <v>2</v>
      </c>
      <c r="I72">
        <v>1</v>
      </c>
      <c r="J72">
        <v>2</v>
      </c>
      <c r="K72">
        <v>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3">
        <f t="shared" si="6"/>
        <v>10</v>
      </c>
    </row>
    <row r="73" spans="1:32" x14ac:dyDescent="0.2">
      <c r="A73" t="s">
        <v>8</v>
      </c>
      <c r="B73">
        <v>3</v>
      </c>
      <c r="C73" t="s">
        <v>2</v>
      </c>
      <c r="D73" t="s">
        <v>11</v>
      </c>
      <c r="E73" t="str">
        <f t="shared" si="7"/>
        <v>S3B</v>
      </c>
      <c r="F73" s="6" t="s">
        <v>21</v>
      </c>
      <c r="G73">
        <v>0</v>
      </c>
      <c r="H73">
        <v>3</v>
      </c>
      <c r="I73">
        <v>0</v>
      </c>
      <c r="J73">
        <v>1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s="3">
        <f t="shared" si="6"/>
        <v>6</v>
      </c>
    </row>
    <row r="74" spans="1:32" x14ac:dyDescent="0.2">
      <c r="A74" t="s">
        <v>8</v>
      </c>
      <c r="B74">
        <v>3</v>
      </c>
      <c r="C74" t="s">
        <v>2</v>
      </c>
      <c r="D74" t="s">
        <v>8</v>
      </c>
      <c r="E74" t="str">
        <f t="shared" si="7"/>
        <v>S3C</v>
      </c>
      <c r="F74" s="6" t="s">
        <v>21</v>
      </c>
      <c r="G74">
        <v>0</v>
      </c>
      <c r="H74">
        <v>1</v>
      </c>
      <c r="I74">
        <v>1</v>
      </c>
      <c r="J74">
        <v>2</v>
      </c>
      <c r="K74">
        <v>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s="3">
        <f t="shared" si="6"/>
        <v>10</v>
      </c>
    </row>
    <row r="75" spans="1:32" x14ac:dyDescent="0.2">
      <c r="A75" t="s">
        <v>8</v>
      </c>
      <c r="B75">
        <v>3</v>
      </c>
      <c r="C75" t="s">
        <v>2</v>
      </c>
      <c r="D75" t="s">
        <v>12</v>
      </c>
      <c r="E75" t="str">
        <f t="shared" si="7"/>
        <v>S3D</v>
      </c>
      <c r="F75" s="6" t="s">
        <v>21</v>
      </c>
      <c r="G75">
        <v>0</v>
      </c>
      <c r="H75">
        <v>0</v>
      </c>
      <c r="I75">
        <v>0</v>
      </c>
      <c r="J75">
        <v>4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s="3">
        <f t="shared" si="6"/>
        <v>8</v>
      </c>
    </row>
    <row r="76" spans="1:32" x14ac:dyDescent="0.2">
      <c r="A76" t="s">
        <v>8</v>
      </c>
      <c r="B76">
        <v>3</v>
      </c>
      <c r="C76" t="s">
        <v>2</v>
      </c>
      <c r="D76" t="s">
        <v>13</v>
      </c>
      <c r="E76" t="str">
        <f t="shared" si="7"/>
        <v>S3E</v>
      </c>
      <c r="F76" s="6" t="s">
        <v>21</v>
      </c>
      <c r="G76">
        <v>0</v>
      </c>
      <c r="H76">
        <v>0</v>
      </c>
      <c r="I76">
        <v>0</v>
      </c>
      <c r="J76">
        <v>1</v>
      </c>
      <c r="K76">
        <v>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3">
        <f t="shared" si="6"/>
        <v>8</v>
      </c>
    </row>
    <row r="77" spans="1:32" x14ac:dyDescent="0.2">
      <c r="A77" t="s">
        <v>8</v>
      </c>
      <c r="B77">
        <v>4</v>
      </c>
      <c r="C77" t="s">
        <v>3</v>
      </c>
      <c r="D77" t="s">
        <v>10</v>
      </c>
      <c r="E77" t="str">
        <f t="shared" si="7"/>
        <v>S4A</v>
      </c>
      <c r="F77" s="6" t="s">
        <v>21</v>
      </c>
      <c r="G77">
        <v>0</v>
      </c>
      <c r="H77">
        <v>1</v>
      </c>
      <c r="I77">
        <v>0</v>
      </c>
      <c r="J77">
        <v>0</v>
      </c>
      <c r="K77">
        <v>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s="3">
        <f t="shared" si="6"/>
        <v>9</v>
      </c>
    </row>
    <row r="78" spans="1:32" x14ac:dyDescent="0.2">
      <c r="A78" t="s">
        <v>8</v>
      </c>
      <c r="B78">
        <v>4</v>
      </c>
      <c r="C78" t="s">
        <v>3</v>
      </c>
      <c r="D78" t="s">
        <v>11</v>
      </c>
      <c r="E78" t="str">
        <f t="shared" si="7"/>
        <v>S4B</v>
      </c>
      <c r="F78" s="6" t="s">
        <v>21</v>
      </c>
      <c r="G78">
        <v>0</v>
      </c>
      <c r="H78">
        <v>2</v>
      </c>
      <c r="I78">
        <v>0</v>
      </c>
      <c r="J78">
        <v>1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3">
        <f t="shared" si="6"/>
        <v>7</v>
      </c>
    </row>
    <row r="79" spans="1:32" x14ac:dyDescent="0.2">
      <c r="A79" t="s">
        <v>8</v>
      </c>
      <c r="B79">
        <v>4</v>
      </c>
      <c r="C79" t="s">
        <v>3</v>
      </c>
      <c r="D79" t="s">
        <v>8</v>
      </c>
      <c r="E79" t="str">
        <f t="shared" si="7"/>
        <v>S4C</v>
      </c>
      <c r="F79" s="6" t="s">
        <v>21</v>
      </c>
      <c r="G79">
        <v>0</v>
      </c>
      <c r="H79">
        <v>2</v>
      </c>
      <c r="I79">
        <v>0</v>
      </c>
      <c r="J79">
        <v>1</v>
      </c>
      <c r="K79">
        <v>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s="3">
        <f t="shared" si="6"/>
        <v>11</v>
      </c>
    </row>
    <row r="80" spans="1:32" x14ac:dyDescent="0.2">
      <c r="A80" t="s">
        <v>8</v>
      </c>
      <c r="B80">
        <v>4</v>
      </c>
      <c r="C80" t="s">
        <v>3</v>
      </c>
      <c r="D80" t="s">
        <v>12</v>
      </c>
      <c r="E80" t="str">
        <f t="shared" si="7"/>
        <v>S4D</v>
      </c>
      <c r="F80" s="6" t="s">
        <v>21</v>
      </c>
      <c r="G80">
        <v>0</v>
      </c>
      <c r="H80">
        <v>3</v>
      </c>
      <c r="I80">
        <v>0</v>
      </c>
      <c r="J80">
        <v>1</v>
      </c>
      <c r="K80">
        <v>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s="3">
        <f t="shared" si="6"/>
        <v>12</v>
      </c>
    </row>
    <row r="81" spans="1:32" x14ac:dyDescent="0.2">
      <c r="A81" t="s">
        <v>8</v>
      </c>
      <c r="B81">
        <v>4</v>
      </c>
      <c r="C81" t="s">
        <v>3</v>
      </c>
      <c r="D81" t="s">
        <v>13</v>
      </c>
      <c r="E81" t="str">
        <f t="shared" si="7"/>
        <v>S4E</v>
      </c>
      <c r="F81" s="6" t="s">
        <v>21</v>
      </c>
      <c r="G81">
        <v>0</v>
      </c>
      <c r="H81">
        <v>1</v>
      </c>
      <c r="I81">
        <v>0</v>
      </c>
      <c r="J81">
        <v>1</v>
      </c>
      <c r="K81">
        <v>9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s="3">
        <f t="shared" si="6"/>
        <v>12</v>
      </c>
    </row>
  </sheetData>
  <conditionalFormatting sqref="G2:AE1048576">
    <cfRule type="cellIs" dxfId="3" priority="1" operator="greaterThan">
      <formula>0</formula>
    </cfRule>
  </conditionalFormatting>
  <conditionalFormatting sqref="AG2:AG41">
    <cfRule type="cellIs" dxfId="2" priority="2" operator="greaterThan">
      <formula>20</formula>
    </cfRule>
  </conditionalFormatting>
  <conditionalFormatting sqref="AH2:AH41">
    <cfRule type="cellIs" dxfId="1" priority="3" operator="lessThan">
      <formula>0.5</formula>
    </cfRule>
    <cfRule type="cellIs" dxfId="0" priority="4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Jack Rosenbaum</cp:lastModifiedBy>
  <dcterms:created xsi:type="dcterms:W3CDTF">2026-02-23T15:58:11Z</dcterms:created>
  <dcterms:modified xsi:type="dcterms:W3CDTF">2026-03-17T14:09:21Z</dcterms:modified>
</cp:coreProperties>
</file>